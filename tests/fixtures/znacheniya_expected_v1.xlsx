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RUCHI~1\AppData\Local\Temp\WebAccessAgentCache\RX\Aura\NT_WORK_Kruchinina_AI\"/>
    </mc:Choice>
  </mc:AlternateContent>
  <bookViews>
    <workbookView xWindow="90" yWindow="75" windowWidth="9360" windowHeight="4950"/>
  </bookViews>
  <sheets>
    <sheet name="Поступило" sheetId="1" r:id="rId1"/>
    <sheet name="Проработано" sheetId="3" r:id="rId2"/>
    <sheet name="Ср. трудоемкость" sheetId="4" r:id="rId3"/>
    <sheet name="Ср. длительность" sheetId="5" r:id="rId4"/>
  </sheets>
  <calcPr calcId="162913"/>
</workbook>
</file>

<file path=xl/calcChain.xml><?xml version="1.0" encoding="utf-8"?>
<calcChain xmlns="http://schemas.openxmlformats.org/spreadsheetml/2006/main">
  <c r="B36" i="3" l="1"/>
  <c r="B10" i="1"/>
  <c r="C10" i="1"/>
  <c r="D10" i="1"/>
  <c r="E10" i="1"/>
  <c r="F10" i="1"/>
  <c r="G10" i="1"/>
  <c r="H10" i="1"/>
  <c r="I10" i="1"/>
  <c r="J10" i="1"/>
  <c r="K10" i="1"/>
  <c r="L10" i="1"/>
  <c r="M10" i="1"/>
  <c r="E23" i="1"/>
  <c r="C36" i="1" l="1"/>
  <c r="B36" i="1"/>
  <c r="D36" i="3"/>
  <c r="C36" i="3"/>
  <c r="M36" i="3"/>
  <c r="L36" i="3"/>
  <c r="K36" i="3"/>
  <c r="J36" i="3"/>
  <c r="I36" i="3"/>
  <c r="H36" i="3"/>
  <c r="G36" i="3"/>
  <c r="F36" i="3"/>
  <c r="F36" i="1"/>
  <c r="G36" i="1"/>
  <c r="H36" i="1"/>
  <c r="I36" i="1"/>
  <c r="J36" i="1"/>
  <c r="K36" i="1"/>
  <c r="L36" i="1"/>
  <c r="M36" i="1"/>
  <c r="B23" i="3"/>
  <c r="C23" i="3"/>
  <c r="B16" i="3"/>
  <c r="C16" i="3"/>
  <c r="B10" i="3"/>
  <c r="C10" i="3"/>
  <c r="B16" i="1"/>
  <c r="C16" i="1"/>
  <c r="B23" i="1"/>
  <c r="C23" i="1"/>
  <c r="D36" i="1" l="1"/>
  <c r="E36" i="1"/>
  <c r="E36" i="3"/>
  <c r="M23" i="3" l="1"/>
  <c r="L23" i="3"/>
  <c r="K23" i="3"/>
  <c r="J23" i="3"/>
  <c r="I23" i="3"/>
  <c r="H23" i="3"/>
  <c r="G23" i="3"/>
  <c r="F23" i="3"/>
  <c r="E23" i="3"/>
  <c r="D23" i="3"/>
  <c r="M16" i="3"/>
  <c r="L16" i="3"/>
  <c r="K16" i="3"/>
  <c r="J16" i="3"/>
  <c r="I16" i="3"/>
  <c r="H16" i="3"/>
  <c r="G16" i="3"/>
  <c r="F16" i="3"/>
  <c r="E16" i="3"/>
  <c r="D16" i="3"/>
  <c r="M10" i="3"/>
  <c r="L10" i="3"/>
  <c r="K10" i="3"/>
  <c r="J10" i="3"/>
  <c r="I10" i="3"/>
  <c r="H10" i="3"/>
  <c r="G10" i="3"/>
  <c r="F10" i="3"/>
  <c r="E10" i="3"/>
  <c r="D10" i="3"/>
  <c r="G16" i="1"/>
  <c r="H16" i="1"/>
  <c r="I16" i="1"/>
  <c r="J16" i="1"/>
  <c r="K16" i="1"/>
  <c r="L16" i="1"/>
  <c r="M16" i="1"/>
  <c r="G23" i="1"/>
  <c r="H23" i="1"/>
  <c r="I23" i="1"/>
  <c r="J23" i="1"/>
  <c r="K23" i="1"/>
  <c r="L23" i="1"/>
  <c r="M23" i="1"/>
  <c r="E16" i="1"/>
  <c r="F16" i="1"/>
  <c r="F23" i="1"/>
  <c r="D23" i="1"/>
  <c r="D16" i="1"/>
</calcChain>
</file>

<file path=xl/comments1.xml><?xml version="1.0" encoding="utf-8"?>
<comments xmlns="http://schemas.openxmlformats.org/spreadsheetml/2006/main">
  <authors>
    <author>Кручинина Анна (Kruchinina_AI)</author>
  </authors>
  <commentList>
    <comment ref="B9" authorId="0" shapeId="0">
      <text>
        <r>
          <rPr>
            <b/>
            <sz val="9"/>
            <color indexed="81"/>
            <rFont val="Tahoma"/>
            <charset val="1"/>
          </rPr>
          <t>оценка эффективности от пилота КЭДО</t>
        </r>
      </text>
    </comment>
    <comment ref="A20" authorId="0" shapeId="0">
      <text>
        <r>
          <rPr>
            <b/>
            <sz val="9"/>
            <color indexed="81"/>
            <rFont val="Tahoma"/>
            <charset val="1"/>
          </rPr>
          <t>от 1000 пользователей</t>
        </r>
      </text>
    </comment>
    <comment ref="A21" authorId="0" shapeId="0">
      <text>
        <r>
          <rPr>
            <b/>
            <sz val="9"/>
            <color indexed="81"/>
            <rFont val="Tahoma"/>
            <charset val="1"/>
          </rPr>
          <t>от 500 до 1000 пользователей</t>
        </r>
      </text>
    </comment>
    <comment ref="A22" authorId="0" shapeId="0">
      <text>
        <r>
          <rPr>
            <b/>
            <sz val="9"/>
            <color indexed="81"/>
            <rFont val="Tahoma"/>
            <charset val="1"/>
          </rPr>
          <t>до 500 пользователей</t>
        </r>
      </text>
    </comment>
  </commentList>
</comments>
</file>

<file path=xl/comments2.xml><?xml version="1.0" encoding="utf-8"?>
<comments xmlns="http://schemas.openxmlformats.org/spreadsheetml/2006/main">
  <authors>
    <author>Кручинина Анна (Kruchinina_AI)</author>
  </authors>
  <commentList>
    <comment ref="A20" authorId="0" shapeId="0">
      <text>
        <r>
          <rPr>
            <b/>
            <sz val="9"/>
            <color indexed="81"/>
            <rFont val="Tahoma"/>
            <charset val="1"/>
          </rPr>
          <t>от 1000 пользователей</t>
        </r>
      </text>
    </comment>
    <comment ref="A21" authorId="0" shapeId="0">
      <text>
        <r>
          <rPr>
            <b/>
            <sz val="9"/>
            <color indexed="81"/>
            <rFont val="Tahoma"/>
            <charset val="1"/>
          </rPr>
          <t>от 500 до 1000 пользователей</t>
        </r>
      </text>
    </comment>
    <comment ref="A22" authorId="0" shapeId="0">
      <text>
        <r>
          <rPr>
            <b/>
            <sz val="9"/>
            <color indexed="81"/>
            <rFont val="Tahoma"/>
            <charset val="1"/>
          </rPr>
          <t>до 500 пользователей</t>
        </r>
      </text>
    </comment>
  </commentList>
</comments>
</file>

<file path=xl/comments3.xml><?xml version="1.0" encoding="utf-8"?>
<comments xmlns="http://schemas.openxmlformats.org/spreadsheetml/2006/main">
  <authors>
    <author>Кручинина Анна (Kruchinina_AI)</author>
  </authors>
  <commentList>
    <comment ref="A20" authorId="0" shapeId="0">
      <text>
        <r>
          <rPr>
            <b/>
            <sz val="9"/>
            <color indexed="81"/>
            <rFont val="Tahoma"/>
            <charset val="1"/>
          </rPr>
          <t>от 1000 пользователей</t>
        </r>
      </text>
    </comment>
    <comment ref="A21" authorId="0" shapeId="0">
      <text>
        <r>
          <rPr>
            <b/>
            <sz val="9"/>
            <color indexed="81"/>
            <rFont val="Tahoma"/>
            <charset val="1"/>
          </rPr>
          <t>от 500 до 1000 пользователей</t>
        </r>
      </text>
    </comment>
    <comment ref="A22" authorId="0" shapeId="0">
      <text>
        <r>
          <rPr>
            <b/>
            <sz val="9"/>
            <color indexed="81"/>
            <rFont val="Tahoma"/>
            <charset val="1"/>
          </rPr>
          <t>до 500 пользователей</t>
        </r>
      </text>
    </comment>
  </commentList>
</comments>
</file>

<file path=xl/comments4.xml><?xml version="1.0" encoding="utf-8"?>
<comments xmlns="http://schemas.openxmlformats.org/spreadsheetml/2006/main">
  <authors>
    <author>Кручинина Анна (Kruchinina_AI)</author>
  </authors>
  <commentList>
    <comment ref="A20" authorId="0" shapeId="0">
      <text>
        <r>
          <rPr>
            <b/>
            <sz val="9"/>
            <color indexed="81"/>
            <rFont val="Tahoma"/>
            <charset val="1"/>
          </rPr>
          <t>от 1000 пользователей</t>
        </r>
      </text>
    </comment>
    <comment ref="A21" authorId="0" shapeId="0">
      <text>
        <r>
          <rPr>
            <b/>
            <sz val="9"/>
            <color indexed="81"/>
            <rFont val="Tahoma"/>
            <charset val="1"/>
          </rPr>
          <t>от 500 до 1000 пользователей</t>
        </r>
      </text>
    </comment>
    <comment ref="A22" authorId="0" shapeId="0">
      <text>
        <r>
          <rPr>
            <b/>
            <sz val="9"/>
            <color indexed="81"/>
            <rFont val="Tahoma"/>
            <charset val="1"/>
          </rPr>
          <t>до 500 пользователей</t>
        </r>
      </text>
    </comment>
  </commentList>
</comments>
</file>

<file path=xl/sharedStrings.xml><?xml version="1.0" encoding="utf-8"?>
<sst xmlns="http://schemas.openxmlformats.org/spreadsheetml/2006/main" count="98" uniqueCount="37">
  <si>
    <t>ВСЕГО</t>
  </si>
  <si>
    <t>Оценка внедрения</t>
  </si>
  <si>
    <t>Оценка сопровождения</t>
  </si>
  <si>
    <t>Оценка обновления</t>
  </si>
  <si>
    <t>ТЗ</t>
  </si>
  <si>
    <t>СИ (сайзинг, ВМ, требования)</t>
  </si>
  <si>
    <t>ИБ</t>
  </si>
  <si>
    <t>Встречи (демо, консультации)</t>
  </si>
  <si>
    <t>Прочее</t>
  </si>
  <si>
    <t>Количество запросов поступило (по услугам)</t>
  </si>
  <si>
    <t>Количество запросов поступило (по продуктам)</t>
  </si>
  <si>
    <t>Количество запросов поступило (по масштабу)</t>
  </si>
  <si>
    <t>RX</t>
  </si>
  <si>
    <t>HR Pro</t>
  </si>
  <si>
    <t>ФОИВ (крупные)</t>
  </si>
  <si>
    <t>РОИВ</t>
  </si>
  <si>
    <t>Другие</t>
  </si>
  <si>
    <t>Количество запросов проработано (по услугам)</t>
  </si>
  <si>
    <t>Количество запросов проработано (по продуктам)</t>
  </si>
  <si>
    <t>Количество запросов проработано (по масштабу)</t>
  </si>
  <si>
    <t>Количество запросов поступило (по инициаторам)</t>
  </si>
  <si>
    <t>Арефьев Алексей Александрович</t>
  </si>
  <si>
    <t>Дурман Никита Викторович</t>
  </si>
  <si>
    <t>Залялов Альберт Милсович</t>
  </si>
  <si>
    <t>Коротаев Никита Олегович</t>
  </si>
  <si>
    <t>Мардиев Ильдар Рафисович</t>
  </si>
  <si>
    <t>Мякишев Алексей Сергеевич</t>
  </si>
  <si>
    <t>Сизюрин Руслан Вячеславович</t>
  </si>
  <si>
    <t>Тимганов Роман Илсурович</t>
  </si>
  <si>
    <t>Чуданов Сергей Васильевич</t>
  </si>
  <si>
    <t>Количество запросов проработано (по инициаторам ОГВ)</t>
  </si>
  <si>
    <t>Средняя трудоемкость выполнения запроса (ч.), по проработанным запросам (по услугам)</t>
  </si>
  <si>
    <t>Средняя трудоемкость выполнения запроса (ч.), по проработанным запросам (по продуктам)</t>
  </si>
  <si>
    <t>Средняя трудоемкость выполнения запроса (ч.), по проработанным запросам (по масштабу)</t>
  </si>
  <si>
    <r>
      <t xml:space="preserve">Средняя длительность работы по запросу -  </t>
    </r>
    <r>
      <rPr>
        <u/>
        <sz val="10"/>
        <rFont val="Arial"/>
        <family val="2"/>
        <charset val="204"/>
      </rPr>
      <t>инициализация + в работе (раб.дн)</t>
    </r>
    <r>
      <rPr>
        <sz val="10"/>
        <rFont val="Arial"/>
        <family val="2"/>
        <charset val="204"/>
      </rPr>
      <t>, по проработанным запросам (по услугам)</t>
    </r>
  </si>
  <si>
    <r>
      <t xml:space="preserve">Средняя длительность работы по запросу -  </t>
    </r>
    <r>
      <rPr>
        <u/>
        <sz val="10"/>
        <rFont val="Arial"/>
        <family val="2"/>
        <charset val="204"/>
      </rPr>
      <t>инициализация + в работе (раб.дн)</t>
    </r>
    <r>
      <rPr>
        <sz val="10"/>
        <rFont val="Arial"/>
        <family val="2"/>
        <charset val="204"/>
      </rPr>
      <t>, по проработанным запросам (по продуктам)</t>
    </r>
  </si>
  <si>
    <r>
      <t xml:space="preserve">Средняя длительность работы по запросу -  </t>
    </r>
    <r>
      <rPr>
        <u/>
        <sz val="10"/>
        <rFont val="Arial"/>
        <family val="2"/>
        <charset val="204"/>
      </rPr>
      <t>инициализация + в работе (раб.дн)</t>
    </r>
    <r>
      <rPr>
        <sz val="10"/>
        <rFont val="Arial"/>
        <family val="2"/>
        <charset val="204"/>
      </rPr>
      <t>, по проработанным запросам (по масштабу)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</si>
</sst>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 Cyr"/>
      <charset val="204"/>
    </font>
    <font>
      <sz val="10"/>
      <name val="Arial"/>
      <family val="2"/>
      <charset val="204"/>
    </font>
    <font>
      <b/>
      <sz val="9"/>
      <color indexed="81"/>
      <name val="Tahoma"/>
      <charset val="1"/>
    </font>
    <font>
      <u/>
      <sz val="1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applyFont="1"/>
    <xf numFmtId="0" fontId="1" fillId="0" borderId="1" xfId="0" applyFont="1" applyBorder="1" applyAlignment="1">
      <alignment vertical="top" wrapText="1"/>
    </xf>
    <xf numFmtId="0" fontId="0" fillId="0" borderId="1" xfId="0" applyBorder="1"/>
    <xf numFmtId="0" fontId="1" fillId="2" borderId="1" xfId="0" applyFont="1" applyFill="1" applyBorder="1" applyAlignment="1">
      <alignment vertical="top" wrapText="1"/>
    </xf>
    <xf numFmtId="17" fontId="1" fillId="2" borderId="1" xfId="0" applyNumberFormat="1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1" fillId="3" borderId="1" xfId="0" applyNumberFormat="1" applyFont="1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36"/>
  <sheetViews>
    <sheetView tabSelected="1" workbookViewId="0">
      <selection activeCell="O17" sqref="O17"/>
    </sheetView>
  </sheetViews>
  <sheetFormatPr defaultRowHeight="12.75" x14ac:dyDescent="0.2"/>
  <cols>
    <col min="1" max="1" width="38.28515625" style="1" customWidth="1"/>
    <col min="2" max="5" width="8.85546875" style="1" customWidth="1"/>
    <col min="6" max="6" width="9.42578125" style="1" customWidth="1"/>
    <col min="7" max="25" width="8.85546875" style="1" customWidth="1"/>
    <col min="26" max="16384" width="9.140625" style="2"/>
  </cols>
  <sheetData>
    <row r="1" spans="1:13" ht="27.75" customHeight="1" x14ac:dyDescent="0.2">
      <c r="A1" s="5" t="s">
        <v>9</v>
      </c>
      <c r="B1" s="6">
        <v>46023</v>
      </c>
      <c r="C1" s="6">
        <v>46054</v>
      </c>
      <c r="D1" s="6">
        <v>46082</v>
      </c>
      <c r="E1" s="6">
        <v>46113</v>
      </c>
      <c r="F1" s="6">
        <v>46143</v>
      </c>
      <c r="G1" s="6">
        <v>46174</v>
      </c>
      <c r="H1" s="6">
        <v>46204</v>
      </c>
      <c r="I1" s="6">
        <v>46235</v>
      </c>
      <c r="J1" s="6">
        <v>46266</v>
      </c>
      <c r="K1" s="6">
        <v>46296</v>
      </c>
      <c r="L1" s="6">
        <v>46327</v>
      </c>
      <c r="M1" s="6">
        <v>46357</v>
      </c>
    </row>
    <row r="2" spans="1:13" x14ac:dyDescent="0.2">
      <c r="A2" s="4" t="s">
        <v>1</v>
      </c>
      <c r="B2" s="3">
        <v>5</v>
      </c>
      <c r="C2" s="3">
        <v>2</v>
      </c>
      <c r="D2" s="3">
        <v>1</v>
      </c>
      <c r="E2" s="3">
        <v>2</v>
      </c>
      <c r="F2" s="3"/>
      <c r="G2" s="3"/>
      <c r="H2" s="3"/>
      <c r="I2" s="3"/>
      <c r="J2" s="3"/>
      <c r="K2" s="3"/>
      <c r="L2" s="3"/>
      <c r="M2" s="3"/>
    </row>
    <row r="3" spans="1:13" x14ac:dyDescent="0.2">
      <c r="A3" s="4" t="s">
        <v>2</v>
      </c>
      <c r="B3" s="3">
        <v>2</v>
      </c>
      <c r="C3" s="3">
        <v>2</v>
      </c>
      <c r="D3" s="3">
        <v>3</v>
      </c>
      <c r="E3" s="3">
        <v>1</v>
      </c>
      <c r="F3" s="3"/>
      <c r="G3" s="3"/>
      <c r="H3" s="3"/>
      <c r="I3" s="3"/>
      <c r="J3" s="3"/>
      <c r="K3" s="3"/>
      <c r="L3" s="3"/>
      <c r="M3" s="3"/>
    </row>
    <row r="4" spans="1:13" x14ac:dyDescent="0.2">
      <c r="A4" s="4" t="s">
        <v>3</v>
      </c>
      <c r="B4" s="3"/>
      <c r="C4" s="3"/>
      <c r="D4" s="3"/>
      <c r="E4" s="3">
        <v>1</v>
      </c>
      <c r="F4" s="3"/>
      <c r="G4" s="3"/>
      <c r="H4" s="3"/>
      <c r="I4" s="3"/>
      <c r="J4" s="3"/>
      <c r="K4" s="3"/>
      <c r="L4" s="3"/>
      <c r="M4" s="3"/>
    </row>
    <row r="5" spans="1:13" x14ac:dyDescent="0.2">
      <c r="A5" s="4" t="s">
        <v>4</v>
      </c>
      <c r="B5" s="3">
        <v>1</v>
      </c>
      <c r="C5" s="3"/>
      <c r="D5" s="3">
        <v>2</v>
      </c>
      <c r="E5" s="3">
        <v>3</v>
      </c>
      <c r="F5" s="3"/>
      <c r="G5" s="3"/>
      <c r="H5" s="3"/>
      <c r="I5" s="3"/>
      <c r="J5" s="3"/>
      <c r="K5" s="3"/>
      <c r="L5" s="3"/>
      <c r="M5" s="3"/>
    </row>
    <row r="6" spans="1:13" x14ac:dyDescent="0.2">
      <c r="A6" s="4" t="s">
        <v>5</v>
      </c>
      <c r="B6" s="3">
        <v>2</v>
      </c>
      <c r="C6" s="3">
        <v>2</v>
      </c>
      <c r="D6" s="3">
        <v>2</v>
      </c>
      <c r="E6" s="3">
        <v>1</v>
      </c>
      <c r="F6" s="3"/>
      <c r="G6" s="3"/>
      <c r="H6" s="3"/>
      <c r="I6" s="3"/>
      <c r="J6" s="3"/>
      <c r="K6" s="3"/>
      <c r="L6" s="3"/>
      <c r="M6" s="3"/>
    </row>
    <row r="7" spans="1:13" x14ac:dyDescent="0.2">
      <c r="A7" s="4" t="s">
        <v>6</v>
      </c>
      <c r="B7" s="3"/>
      <c r="C7" s="3"/>
      <c r="D7" s="3"/>
      <c r="E7" s="3">
        <v>1</v>
      </c>
      <c r="F7" s="3"/>
      <c r="G7" s="3"/>
      <c r="H7" s="3"/>
      <c r="I7" s="3"/>
      <c r="J7" s="3"/>
      <c r="K7" s="3"/>
      <c r="L7" s="3"/>
      <c r="M7" s="3"/>
    </row>
    <row r="8" spans="1:13" x14ac:dyDescent="0.2">
      <c r="A8" s="4" t="s">
        <v>7</v>
      </c>
      <c r="B8" s="3">
        <v>4</v>
      </c>
      <c r="C8" s="3">
        <v>1</v>
      </c>
      <c r="D8" s="3">
        <v>2</v>
      </c>
      <c r="E8" s="3">
        <v>3</v>
      </c>
      <c r="F8" s="3"/>
      <c r="G8" s="3"/>
      <c r="H8" s="3"/>
      <c r="I8" s="3"/>
      <c r="J8" s="3"/>
      <c r="K8" s="3"/>
      <c r="L8" s="3"/>
      <c r="M8" s="3"/>
    </row>
    <row r="9" spans="1:13" x14ac:dyDescent="0.2">
      <c r="A9" s="4" t="s">
        <v>8</v>
      </c>
      <c r="B9" s="3">
        <v>1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x14ac:dyDescent="0.2">
      <c r="A10" s="7" t="s">
        <v>0</v>
      </c>
      <c r="B10" s="7">
        <f>SUM(B2:B9)</f>
        <v>15</v>
      </c>
      <c r="C10" s="7">
        <f t="shared" ref="C10:M10" si="0">SUM(C2:C9)</f>
        <v>7</v>
      </c>
      <c r="D10" s="7">
        <f t="shared" si="0"/>
        <v>10</v>
      </c>
      <c r="E10" s="7">
        <f t="shared" si="0"/>
        <v>12</v>
      </c>
      <c r="F10" s="7">
        <f t="shared" si="0"/>
        <v>0</v>
      </c>
      <c r="G10" s="7">
        <f t="shared" si="0"/>
        <v>0</v>
      </c>
      <c r="H10" s="7">
        <f t="shared" si="0"/>
        <v>0</v>
      </c>
      <c r="I10" s="7">
        <f t="shared" si="0"/>
        <v>0</v>
      </c>
      <c r="J10" s="7">
        <f t="shared" si="0"/>
        <v>0</v>
      </c>
      <c r="K10" s="7">
        <f t="shared" si="0"/>
        <v>0</v>
      </c>
      <c r="L10" s="7">
        <f t="shared" si="0"/>
        <v>0</v>
      </c>
      <c r="M10" s="7">
        <f t="shared" si="0"/>
        <v>0</v>
      </c>
    </row>
    <row r="13" spans="1:13" ht="25.5" x14ac:dyDescent="0.2">
      <c r="A13" s="5" t="s">
        <v>10</v>
      </c>
      <c r="B13" s="6">
        <v>46023</v>
      </c>
      <c r="C13" s="6">
        <v>46054</v>
      </c>
      <c r="D13" s="6">
        <v>46082</v>
      </c>
      <c r="E13" s="6">
        <v>46113</v>
      </c>
      <c r="F13" s="6">
        <v>46143</v>
      </c>
      <c r="G13" s="6">
        <v>46174</v>
      </c>
      <c r="H13" s="6">
        <v>46204</v>
      </c>
      <c r="I13" s="6">
        <v>46235</v>
      </c>
      <c r="J13" s="6">
        <v>46266</v>
      </c>
      <c r="K13" s="6">
        <v>46296</v>
      </c>
      <c r="L13" s="6">
        <v>46327</v>
      </c>
      <c r="M13" s="6">
        <v>46357</v>
      </c>
    </row>
    <row r="14" spans="1:13" x14ac:dyDescent="0.2">
      <c r="A14" s="4" t="s">
        <v>12</v>
      </c>
      <c r="B14" s="3">
        <v>10</v>
      </c>
      <c r="C14" s="3">
        <v>3</v>
      </c>
      <c r="D14" s="3">
        <v>6</v>
      </c>
      <c r="E14" s="3">
        <v>8</v>
      </c>
      <c r="F14" s="3"/>
      <c r="G14" s="3"/>
      <c r="H14" s="3"/>
      <c r="I14" s="3"/>
      <c r="J14" s="3"/>
      <c r="K14" s="3"/>
      <c r="L14" s="3"/>
      <c r="M14" s="3"/>
    </row>
    <row r="15" spans="1:13" x14ac:dyDescent="0.2">
      <c r="A15" s="4" t="s">
        <v>13</v>
      </c>
      <c r="B15" s="3">
        <v>5</v>
      </c>
      <c r="C15" s="3">
        <v>4</v>
      </c>
      <c r="D15" s="3">
        <v>4</v>
      </c>
      <c r="E15" s="3">
        <v>4</v>
      </c>
      <c r="F15" s="3"/>
      <c r="G15" s="3"/>
      <c r="H15" s="3"/>
      <c r="I15" s="3"/>
      <c r="J15" s="3"/>
      <c r="K15" s="3"/>
      <c r="L15" s="3"/>
      <c r="M15" s="3"/>
    </row>
    <row r="16" spans="1:13" x14ac:dyDescent="0.2">
      <c r="A16" s="7" t="s">
        <v>0</v>
      </c>
      <c r="B16" s="7">
        <f>SUM(B14:B15)</f>
        <v>15</v>
      </c>
      <c r="C16" s="7">
        <f>SUM(C14:C15)</f>
        <v>7</v>
      </c>
      <c r="D16" s="7">
        <f>SUM(D14:D15)</f>
        <v>10</v>
      </c>
      <c r="E16" s="7">
        <f>SUM(E14:E15)</f>
        <v>12</v>
      </c>
      <c r="F16" s="7">
        <f>SUM(F14:F15)</f>
        <v>0</v>
      </c>
      <c r="G16" s="7">
        <f>SUM(G14:G15)</f>
        <v>0</v>
      </c>
      <c r="H16" s="7">
        <f>SUM(H14:H15)</f>
        <v>0</v>
      </c>
      <c r="I16" s="7">
        <f>SUM(I14:I15)</f>
        <v>0</v>
      </c>
      <c r="J16" s="7">
        <f>SUM(J14:J15)</f>
        <v>0</v>
      </c>
      <c r="K16" s="7">
        <f>SUM(K14:K15)</f>
        <v>0</v>
      </c>
      <c r="L16" s="7">
        <f>SUM(L14:L15)</f>
        <v>0</v>
      </c>
      <c r="M16" s="7">
        <f>SUM(M14:M15)</f>
        <v>0</v>
      </c>
    </row>
    <row r="19" spans="1:13" ht="25.5" x14ac:dyDescent="0.2">
      <c r="A19" s="5" t="s">
        <v>11</v>
      </c>
      <c r="B19" s="6">
        <v>46023</v>
      </c>
      <c r="C19" s="6">
        <v>46054</v>
      </c>
      <c r="D19" s="6">
        <v>46082</v>
      </c>
      <c r="E19" s="6">
        <v>46113</v>
      </c>
      <c r="F19" s="6">
        <v>46143</v>
      </c>
      <c r="G19" s="6">
        <v>46174</v>
      </c>
      <c r="H19" s="6">
        <v>46204</v>
      </c>
      <c r="I19" s="6">
        <v>46235</v>
      </c>
      <c r="J19" s="6">
        <v>46266</v>
      </c>
      <c r="K19" s="6">
        <v>46296</v>
      </c>
      <c r="L19" s="6">
        <v>46327</v>
      </c>
      <c r="M19" s="6">
        <v>46357</v>
      </c>
    </row>
    <row r="20" spans="1:13" x14ac:dyDescent="0.2">
      <c r="A20" s="4" t="s">
        <v>14</v>
      </c>
      <c r="B20" s="3">
        <v>1</v>
      </c>
      <c r="C20" s="3"/>
      <c r="D20" s="3"/>
      <c r="E20" s="3">
        <v>2</v>
      </c>
      <c r="F20" s="3"/>
      <c r="G20" s="3"/>
      <c r="H20" s="3"/>
      <c r="I20" s="3"/>
      <c r="J20" s="3"/>
      <c r="K20" s="3"/>
      <c r="L20" s="3"/>
      <c r="M20" s="3"/>
    </row>
    <row r="21" spans="1:13" x14ac:dyDescent="0.2">
      <c r="A21" s="4" t="s">
        <v>15</v>
      </c>
      <c r="B21" s="3">
        <v>8</v>
      </c>
      <c r="C21" s="3">
        <v>7</v>
      </c>
      <c r="D21" s="3">
        <v>7</v>
      </c>
      <c r="E21" s="3">
        <v>5</v>
      </c>
      <c r="F21" s="3"/>
      <c r="G21" s="3"/>
      <c r="H21" s="3"/>
      <c r="I21" s="3"/>
      <c r="J21" s="3"/>
      <c r="K21" s="3"/>
      <c r="L21" s="3"/>
      <c r="M21" s="3"/>
    </row>
    <row r="22" spans="1:13" x14ac:dyDescent="0.2">
      <c r="A22" s="4" t="s">
        <v>16</v>
      </c>
      <c r="B22" s="3">
        <v>6</v>
      </c>
      <c r="C22" s="3"/>
      <c r="D22" s="3">
        <v>3</v>
      </c>
      <c r="E22" s="3">
        <v>5</v>
      </c>
      <c r="F22" s="3"/>
      <c r="G22" s="3"/>
      <c r="H22" s="3"/>
      <c r="I22" s="3"/>
      <c r="J22" s="3"/>
      <c r="K22" s="3"/>
      <c r="L22" s="3"/>
      <c r="M22" s="3"/>
    </row>
    <row r="23" spans="1:13" x14ac:dyDescent="0.2">
      <c r="A23" s="7" t="s">
        <v>0</v>
      </c>
      <c r="B23" s="7">
        <f>SUM(B20:B22)</f>
        <v>15</v>
      </c>
      <c r="C23" s="7">
        <f>SUM(C20:C22)</f>
        <v>7</v>
      </c>
      <c r="D23" s="7">
        <f>SUM(D20:D22)</f>
        <v>10</v>
      </c>
      <c r="E23" s="7">
        <f>SUM(E20:E22)</f>
        <v>12</v>
      </c>
      <c r="F23" s="7">
        <f>SUM(F20:F22)</f>
        <v>0</v>
      </c>
      <c r="G23" s="7">
        <f>SUM(G20:G22)</f>
        <v>0</v>
      </c>
      <c r="H23" s="7">
        <f>SUM(H20:H22)</f>
        <v>0</v>
      </c>
      <c r="I23" s="7">
        <f>SUM(I20:I22)</f>
        <v>0</v>
      </c>
      <c r="J23" s="7">
        <f>SUM(J20:J22)</f>
        <v>0</v>
      </c>
      <c r="K23" s="7">
        <f>SUM(K20:K22)</f>
        <v>0</v>
      </c>
      <c r="L23" s="7">
        <f>SUM(L20:L22)</f>
        <v>0</v>
      </c>
      <c r="M23" s="7">
        <f>SUM(M20:M22)</f>
        <v>0</v>
      </c>
    </row>
    <row r="26" spans="1:13" ht="25.5" x14ac:dyDescent="0.2">
      <c r="A26" s="5" t="s">
        <v>20</v>
      </c>
      <c r="B26" s="6">
        <v>46023</v>
      </c>
      <c r="C26" s="6">
        <v>46054</v>
      </c>
      <c r="D26" s="6">
        <v>46082</v>
      </c>
      <c r="E26" s="6">
        <v>46113</v>
      </c>
      <c r="F26" s="6">
        <v>46143</v>
      </c>
      <c r="G26" s="6">
        <v>46174</v>
      </c>
      <c r="H26" s="6">
        <v>46204</v>
      </c>
      <c r="I26" s="6">
        <v>46235</v>
      </c>
      <c r="J26" s="6">
        <v>46266</v>
      </c>
      <c r="K26" s="6">
        <v>46296</v>
      </c>
      <c r="L26" s="6">
        <v>46327</v>
      </c>
      <c r="M26" s="6">
        <v>46357</v>
      </c>
    </row>
    <row r="27" spans="1:13" x14ac:dyDescent="0.2">
      <c r="A27" s="4" t="s">
        <v>21</v>
      </c>
      <c r="B27" s="3"/>
      <c r="C27" s="3"/>
      <c r="D27" s="3">
        <v>1</v>
      </c>
      <c r="E27" s="3">
        <v>1</v>
      </c>
      <c r="F27" s="3"/>
      <c r="G27" s="3"/>
      <c r="H27" s="3"/>
      <c r="I27" s="3"/>
      <c r="J27" s="3"/>
      <c r="K27" s="3"/>
      <c r="L27" s="3"/>
      <c r="M27" s="3"/>
    </row>
    <row r="28" spans="1:13" x14ac:dyDescent="0.2">
      <c r="A28" s="4" t="s">
        <v>22</v>
      </c>
      <c r="B28" s="3">
        <v>1</v>
      </c>
      <c r="C28" s="3"/>
      <c r="D28" s="3"/>
      <c r="E28" s="3">
        <v>2</v>
      </c>
      <c r="F28" s="3"/>
      <c r="G28" s="3"/>
      <c r="H28" s="3"/>
      <c r="I28" s="3"/>
      <c r="J28" s="3"/>
      <c r="K28" s="3"/>
      <c r="L28" s="3"/>
      <c r="M28" s="3"/>
    </row>
    <row r="29" spans="1:13" x14ac:dyDescent="0.2">
      <c r="A29" s="4" t="s">
        <v>23</v>
      </c>
      <c r="B29" s="3"/>
      <c r="C29" s="3"/>
      <c r="D29" s="3"/>
      <c r="E29" s="3">
        <v>2</v>
      </c>
      <c r="F29" s="3"/>
      <c r="G29" s="3"/>
      <c r="H29" s="3"/>
      <c r="I29" s="3"/>
      <c r="J29" s="3"/>
      <c r="K29" s="3"/>
      <c r="L29" s="3"/>
      <c r="M29" s="3"/>
    </row>
    <row r="30" spans="1:13" x14ac:dyDescent="0.2">
      <c r="A30" s="4" t="s">
        <v>24</v>
      </c>
      <c r="B30" s="3">
        <v>2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x14ac:dyDescent="0.2">
      <c r="A31" s="4" t="s">
        <v>25</v>
      </c>
      <c r="B31" s="3">
        <v>2</v>
      </c>
      <c r="C31" s="3"/>
      <c r="D31" s="3">
        <v>2</v>
      </c>
      <c r="E31" s="3">
        <v>1</v>
      </c>
      <c r="F31" s="3"/>
      <c r="G31" s="3"/>
      <c r="H31" s="3"/>
      <c r="I31" s="3"/>
      <c r="J31" s="3"/>
      <c r="K31" s="3"/>
      <c r="L31" s="3"/>
      <c r="M31" s="3"/>
    </row>
    <row r="32" spans="1:13" x14ac:dyDescent="0.2">
      <c r="A32" s="4" t="s">
        <v>26</v>
      </c>
      <c r="B32" s="3">
        <v>3</v>
      </c>
      <c r="C32" s="3">
        <v>2</v>
      </c>
      <c r="D32" s="3">
        <v>2</v>
      </c>
      <c r="E32" s="3"/>
      <c r="F32" s="3"/>
      <c r="G32" s="3"/>
      <c r="H32" s="3"/>
      <c r="I32" s="3"/>
      <c r="J32" s="3"/>
      <c r="K32" s="3"/>
      <c r="L32" s="3"/>
      <c r="M32" s="3"/>
    </row>
    <row r="33" spans="1:13" x14ac:dyDescent="0.2">
      <c r="A33" s="4" t="s">
        <v>27</v>
      </c>
      <c r="B33" s="3">
        <v>2</v>
      </c>
      <c r="C33" s="3">
        <v>2</v>
      </c>
      <c r="D33" s="3">
        <v>5</v>
      </c>
      <c r="E33" s="3"/>
      <c r="F33" s="3"/>
      <c r="G33" s="3"/>
      <c r="H33" s="3"/>
      <c r="I33" s="3"/>
      <c r="J33" s="3"/>
      <c r="K33" s="3"/>
      <c r="L33" s="3"/>
      <c r="M33" s="3"/>
    </row>
    <row r="34" spans="1:13" x14ac:dyDescent="0.2">
      <c r="A34" s="4" t="s">
        <v>28</v>
      </c>
      <c r="B34" s="3">
        <v>3</v>
      </c>
      <c r="C34" s="3">
        <v>1</v>
      </c>
      <c r="D34" s="3"/>
      <c r="E34" s="3">
        <v>3</v>
      </c>
      <c r="F34" s="3"/>
      <c r="G34" s="3"/>
      <c r="H34" s="3"/>
      <c r="I34" s="3"/>
      <c r="J34" s="3"/>
      <c r="K34" s="3"/>
      <c r="L34" s="3"/>
      <c r="M34" s="3"/>
    </row>
    <row r="35" spans="1:13" x14ac:dyDescent="0.2">
      <c r="A35" s="4" t="s">
        <v>29</v>
      </c>
      <c r="B35" s="3"/>
      <c r="C35" s="3">
        <v>1</v>
      </c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2">
      <c r="A36" s="7" t="s">
        <v>0</v>
      </c>
      <c r="B36" s="7">
        <f>SUM(B27:B35)</f>
        <v>13</v>
      </c>
      <c r="C36" s="7">
        <f>SUM(C27:C35)</f>
        <v>6</v>
      </c>
      <c r="D36" s="7">
        <f>SUM(D27:D35)</f>
        <v>10</v>
      </c>
      <c r="E36" s="7">
        <f>SUM(E27:E35)</f>
        <v>9</v>
      </c>
      <c r="F36" s="7">
        <f>SUM(F27:F35)</f>
        <v>0</v>
      </c>
      <c r="G36" s="7">
        <f>SUM(G27:G35)</f>
        <v>0</v>
      </c>
      <c r="H36" s="7">
        <f>SUM(H27:H35)</f>
        <v>0</v>
      </c>
      <c r="I36" s="7">
        <f>SUM(I27:I35)</f>
        <v>0</v>
      </c>
      <c r="J36" s="7">
        <f>SUM(J27:J35)</f>
        <v>0</v>
      </c>
      <c r="K36" s="7">
        <f>SUM(K27:K35)</f>
        <v>0</v>
      </c>
      <c r="L36" s="7">
        <f>SUM(L27:L35)</f>
        <v>0</v>
      </c>
      <c r="M36" s="7">
        <f>SUM(M27:M35)</f>
        <v>0</v>
      </c>
    </row>
  </sheetData>
  <phoneticPr fontId="0" type="noConversion"/>
  <printOptions horizontalCentered="1"/>
  <pageMargins left="0.98425196850393704" right="0.59055118110236227" top="0.59055118110236227" bottom="0.78740157480314965" header="0.51181102362204722" footer="0.51181102362204722"/>
  <pageSetup paperSize="9" orientation="portrait" horizontalDpi="300" verticalDpi="0" copies="0" r:id="rId1"/>
  <headerFooter alignWithMargins="0"/>
  <ignoredErrors>
    <ignoredError sqref="B10:M36" formulaRange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36"/>
  <sheetViews>
    <sheetView workbookViewId="0">
      <selection activeCell="B37" sqref="B37"/>
    </sheetView>
  </sheetViews>
  <sheetFormatPr defaultRowHeight="12.75" x14ac:dyDescent="0.2"/>
  <cols>
    <col min="1" max="1" width="38.28515625" style="1" customWidth="1"/>
    <col min="2" max="5" width="8.85546875" style="1" customWidth="1"/>
    <col min="6" max="6" width="9.42578125" style="1" customWidth="1"/>
    <col min="7" max="25" width="8.85546875" style="1" customWidth="1"/>
    <col min="26" max="16384" width="9.140625" style="2"/>
  </cols>
  <sheetData>
    <row r="1" spans="1:13" ht="27.75" customHeight="1" x14ac:dyDescent="0.2">
      <c r="A1" s="5" t="s">
        <v>17</v>
      </c>
      <c r="B1" s="6">
        <v>46023</v>
      </c>
      <c r="C1" s="6">
        <v>46054</v>
      </c>
      <c r="D1" s="6">
        <v>46082</v>
      </c>
      <c r="E1" s="6">
        <v>46113</v>
      </c>
      <c r="F1" s="6">
        <v>46143</v>
      </c>
      <c r="G1" s="6">
        <v>46174</v>
      </c>
      <c r="H1" s="6">
        <v>46204</v>
      </c>
      <c r="I1" s="6">
        <v>46235</v>
      </c>
      <c r="J1" s="6">
        <v>46266</v>
      </c>
      <c r="K1" s="6">
        <v>46296</v>
      </c>
      <c r="L1" s="6">
        <v>46327</v>
      </c>
      <c r="M1" s="6">
        <v>46357</v>
      </c>
    </row>
    <row r="2" spans="1:13" x14ac:dyDescent="0.2">
      <c r="A2" s="4" t="s">
        <v>1</v>
      </c>
      <c r="B2" s="3">
        <v>3</v>
      </c>
      <c r="C2" s="3">
        <v>3</v>
      </c>
      <c r="D2" s="3">
        <v>3</v>
      </c>
      <c r="E2" s="3">
        <v>1</v>
      </c>
      <c r="F2" s="3"/>
      <c r="G2" s="3"/>
      <c r="H2" s="3"/>
      <c r="I2" s="3"/>
      <c r="J2" s="3"/>
      <c r="K2" s="3"/>
      <c r="L2" s="3"/>
      <c r="M2" s="3"/>
    </row>
    <row r="3" spans="1:13" x14ac:dyDescent="0.2">
      <c r="A3" s="4" t="s">
        <v>2</v>
      </c>
      <c r="B3" s="3"/>
      <c r="C3" s="3">
        <v>2</v>
      </c>
      <c r="D3" s="3">
        <v>1</v>
      </c>
      <c r="E3" s="3">
        <v>3</v>
      </c>
      <c r="F3" s="3"/>
      <c r="G3" s="3"/>
      <c r="H3" s="3"/>
      <c r="I3" s="3"/>
      <c r="J3" s="3"/>
      <c r="K3" s="3"/>
      <c r="L3" s="3"/>
      <c r="M3" s="3"/>
    </row>
    <row r="4" spans="1:13" x14ac:dyDescent="0.2">
      <c r="A4" s="4" t="s">
        <v>3</v>
      </c>
      <c r="B4" s="3"/>
      <c r="C4" s="3"/>
      <c r="D4" s="3"/>
      <c r="E4" s="3">
        <v>2</v>
      </c>
      <c r="F4" s="3"/>
      <c r="G4" s="3"/>
      <c r="H4" s="3"/>
      <c r="I4" s="3"/>
      <c r="J4" s="3"/>
      <c r="K4" s="3"/>
      <c r="L4" s="3"/>
      <c r="M4" s="3"/>
    </row>
    <row r="5" spans="1:13" x14ac:dyDescent="0.2">
      <c r="A5" s="4" t="s">
        <v>4</v>
      </c>
      <c r="B5" s="3">
        <v>2</v>
      </c>
      <c r="C5" s="3"/>
      <c r="D5" s="3">
        <v>2</v>
      </c>
      <c r="E5" s="3">
        <v>2</v>
      </c>
      <c r="F5" s="3"/>
      <c r="G5" s="3"/>
      <c r="H5" s="3"/>
      <c r="I5" s="3"/>
      <c r="J5" s="3"/>
      <c r="K5" s="3"/>
      <c r="L5" s="3"/>
      <c r="M5" s="3"/>
    </row>
    <row r="6" spans="1:13" x14ac:dyDescent="0.2">
      <c r="A6" s="4" t="s">
        <v>5</v>
      </c>
      <c r="B6" s="3"/>
      <c r="C6" s="3">
        <v>4</v>
      </c>
      <c r="D6" s="3">
        <v>1</v>
      </c>
      <c r="E6" s="3">
        <v>3</v>
      </c>
      <c r="F6" s="3"/>
      <c r="G6" s="3"/>
      <c r="H6" s="3"/>
      <c r="I6" s="3"/>
      <c r="J6" s="3"/>
      <c r="K6" s="3"/>
      <c r="L6" s="3"/>
      <c r="M6" s="3"/>
    </row>
    <row r="7" spans="1:13" x14ac:dyDescent="0.2">
      <c r="A7" s="4" t="s">
        <v>6</v>
      </c>
      <c r="B7" s="3"/>
      <c r="C7" s="3"/>
      <c r="D7" s="3"/>
      <c r="E7" s="3">
        <v>1</v>
      </c>
      <c r="F7" s="3"/>
      <c r="G7" s="3"/>
      <c r="H7" s="3"/>
      <c r="I7" s="3"/>
      <c r="J7" s="3"/>
      <c r="K7" s="3"/>
      <c r="L7" s="3"/>
      <c r="M7" s="3"/>
    </row>
    <row r="8" spans="1:13" x14ac:dyDescent="0.2">
      <c r="A8" s="4" t="s">
        <v>7</v>
      </c>
      <c r="B8" s="3">
        <v>2</v>
      </c>
      <c r="C8" s="3">
        <v>1</v>
      </c>
      <c r="D8" s="3">
        <v>2</v>
      </c>
      <c r="E8" s="3">
        <v>2</v>
      </c>
      <c r="F8" s="3"/>
      <c r="G8" s="3"/>
      <c r="H8" s="3"/>
      <c r="I8" s="3"/>
      <c r="J8" s="3"/>
      <c r="K8" s="3"/>
      <c r="L8" s="3"/>
      <c r="M8" s="3"/>
    </row>
    <row r="9" spans="1:13" x14ac:dyDescent="0.2">
      <c r="A9" s="4" t="s">
        <v>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x14ac:dyDescent="0.2">
      <c r="A10" s="7" t="s">
        <v>0</v>
      </c>
      <c r="B10" s="7">
        <f>SUM(B2:B9)</f>
        <v>7</v>
      </c>
      <c r="C10" s="7">
        <f>SUM(C2:C9)</f>
        <v>10</v>
      </c>
      <c r="D10" s="7">
        <f>SUM(D2:D9)</f>
        <v>9</v>
      </c>
      <c r="E10" s="7">
        <f>SUM(E2:E9)</f>
        <v>14</v>
      </c>
      <c r="F10" s="7">
        <f>SUM(F2:F9)</f>
        <v>0</v>
      </c>
      <c r="G10" s="7">
        <f>SUM(G2:G9)</f>
        <v>0</v>
      </c>
      <c r="H10" s="7">
        <f>SUM(H2:H9)</f>
        <v>0</v>
      </c>
      <c r="I10" s="7">
        <f>SUM(I2:I9)</f>
        <v>0</v>
      </c>
      <c r="J10" s="7">
        <f>SUM(J2:J9)</f>
        <v>0</v>
      </c>
      <c r="K10" s="7">
        <f>SUM(K2:K9)</f>
        <v>0</v>
      </c>
      <c r="L10" s="7">
        <f>SUM(L2:L9)</f>
        <v>0</v>
      </c>
      <c r="M10" s="7">
        <f>SUM(M2:M9)</f>
        <v>0</v>
      </c>
    </row>
    <row r="13" spans="1:13" ht="25.5" x14ac:dyDescent="0.2">
      <c r="A13" s="5" t="s">
        <v>18</v>
      </c>
      <c r="B13" s="6">
        <v>46023</v>
      </c>
      <c r="C13" s="6">
        <v>46054</v>
      </c>
      <c r="D13" s="6">
        <v>46082</v>
      </c>
      <c r="E13" s="6">
        <v>46113</v>
      </c>
      <c r="F13" s="6">
        <v>46143</v>
      </c>
      <c r="G13" s="6">
        <v>46174</v>
      </c>
      <c r="H13" s="6">
        <v>46204</v>
      </c>
      <c r="I13" s="6">
        <v>46235</v>
      </c>
      <c r="J13" s="6">
        <v>46266</v>
      </c>
      <c r="K13" s="6">
        <v>46296</v>
      </c>
      <c r="L13" s="6">
        <v>46327</v>
      </c>
      <c r="M13" s="6">
        <v>46357</v>
      </c>
    </row>
    <row r="14" spans="1:13" x14ac:dyDescent="0.2">
      <c r="A14" s="4" t="s">
        <v>12</v>
      </c>
      <c r="B14" s="3">
        <v>5</v>
      </c>
      <c r="C14" s="3">
        <v>4</v>
      </c>
      <c r="D14" s="3">
        <v>5</v>
      </c>
      <c r="E14" s="3">
        <v>10</v>
      </c>
      <c r="F14" s="3"/>
      <c r="G14" s="3"/>
      <c r="H14" s="3"/>
      <c r="I14" s="3"/>
      <c r="J14" s="3"/>
      <c r="K14" s="3"/>
      <c r="L14" s="3"/>
      <c r="M14" s="3"/>
    </row>
    <row r="15" spans="1:13" x14ac:dyDescent="0.2">
      <c r="A15" s="4" t="s">
        <v>13</v>
      </c>
      <c r="B15" s="3">
        <v>2</v>
      </c>
      <c r="C15" s="3">
        <v>6</v>
      </c>
      <c r="D15" s="3">
        <v>4</v>
      </c>
      <c r="E15" s="3">
        <v>4</v>
      </c>
      <c r="F15" s="3"/>
      <c r="G15" s="3"/>
      <c r="H15" s="3"/>
      <c r="I15" s="3"/>
      <c r="J15" s="3"/>
      <c r="K15" s="3"/>
      <c r="L15" s="3"/>
      <c r="M15" s="3"/>
    </row>
    <row r="16" spans="1:13" x14ac:dyDescent="0.2">
      <c r="A16" s="7" t="s">
        <v>0</v>
      </c>
      <c r="B16" s="7">
        <f>SUM(B14:B15)</f>
        <v>7</v>
      </c>
      <c r="C16" s="7">
        <f>SUM(C14:C15)</f>
        <v>10</v>
      </c>
      <c r="D16" s="7">
        <f>SUM(D14:D15)</f>
        <v>9</v>
      </c>
      <c r="E16" s="7">
        <f>SUM(E14:E15)</f>
        <v>14</v>
      </c>
      <c r="F16" s="7">
        <f>SUM(F14:F15)</f>
        <v>0</v>
      </c>
      <c r="G16" s="7">
        <f>SUM(G14:G15)</f>
        <v>0</v>
      </c>
      <c r="H16" s="7">
        <f>SUM(H14:H15)</f>
        <v>0</v>
      </c>
      <c r="I16" s="7">
        <f>SUM(I14:I15)</f>
        <v>0</v>
      </c>
      <c r="J16" s="7">
        <f>SUM(J14:J15)</f>
        <v>0</v>
      </c>
      <c r="K16" s="7">
        <f>SUM(K14:K15)</f>
        <v>0</v>
      </c>
      <c r="L16" s="7">
        <f>SUM(L14:L15)</f>
        <v>0</v>
      </c>
      <c r="M16" s="7">
        <f>SUM(M14:M15)</f>
        <v>0</v>
      </c>
    </row>
    <row r="19" spans="1:13" ht="25.5" x14ac:dyDescent="0.2">
      <c r="A19" s="5" t="s">
        <v>19</v>
      </c>
      <c r="B19" s="6">
        <v>46023</v>
      </c>
      <c r="C19" s="6">
        <v>46054</v>
      </c>
      <c r="D19" s="6">
        <v>46082</v>
      </c>
      <c r="E19" s="6">
        <v>46113</v>
      </c>
      <c r="F19" s="6">
        <v>46143</v>
      </c>
      <c r="G19" s="6">
        <v>46174</v>
      </c>
      <c r="H19" s="6">
        <v>46204</v>
      </c>
      <c r="I19" s="6">
        <v>46235</v>
      </c>
      <c r="J19" s="6">
        <v>46266</v>
      </c>
      <c r="K19" s="6">
        <v>46296</v>
      </c>
      <c r="L19" s="6">
        <v>46327</v>
      </c>
      <c r="M19" s="6">
        <v>46357</v>
      </c>
    </row>
    <row r="20" spans="1:13" x14ac:dyDescent="0.2">
      <c r="A20" s="4" t="s">
        <v>14</v>
      </c>
      <c r="B20" s="3">
        <v>1</v>
      </c>
      <c r="C20" s="3">
        <v>1</v>
      </c>
      <c r="D20" s="3"/>
      <c r="E20" s="3">
        <v>2</v>
      </c>
      <c r="F20" s="3"/>
      <c r="G20" s="3"/>
      <c r="H20" s="3"/>
      <c r="I20" s="3"/>
      <c r="J20" s="3"/>
      <c r="K20" s="3"/>
      <c r="L20" s="3"/>
      <c r="M20" s="3"/>
    </row>
    <row r="21" spans="1:13" x14ac:dyDescent="0.2">
      <c r="A21" s="4" t="s">
        <v>15</v>
      </c>
      <c r="B21" s="3">
        <v>4</v>
      </c>
      <c r="C21" s="3">
        <v>5</v>
      </c>
      <c r="D21" s="3">
        <v>8</v>
      </c>
      <c r="E21" s="3">
        <v>8</v>
      </c>
      <c r="F21" s="3"/>
      <c r="G21" s="3"/>
      <c r="H21" s="3"/>
      <c r="I21" s="3"/>
      <c r="J21" s="3"/>
      <c r="K21" s="3"/>
      <c r="L21" s="3"/>
      <c r="M21" s="3"/>
    </row>
    <row r="22" spans="1:13" x14ac:dyDescent="0.2">
      <c r="A22" s="4" t="s">
        <v>16</v>
      </c>
      <c r="B22" s="3">
        <v>2</v>
      </c>
      <c r="C22" s="3">
        <v>4</v>
      </c>
      <c r="D22" s="3">
        <v>1</v>
      </c>
      <c r="E22" s="3">
        <v>4</v>
      </c>
      <c r="F22" s="3"/>
      <c r="G22" s="3"/>
      <c r="H22" s="3"/>
      <c r="I22" s="3"/>
      <c r="J22" s="3"/>
      <c r="K22" s="3"/>
      <c r="L22" s="3"/>
      <c r="M22" s="3"/>
    </row>
    <row r="23" spans="1:13" x14ac:dyDescent="0.2">
      <c r="A23" s="7" t="s">
        <v>0</v>
      </c>
      <c r="B23" s="7">
        <f>SUM(B20:B22)</f>
        <v>7</v>
      </c>
      <c r="C23" s="7">
        <f>SUM(C20:C22)</f>
        <v>10</v>
      </c>
      <c r="D23" s="7">
        <f>SUM(D20:D22)</f>
        <v>9</v>
      </c>
      <c r="E23" s="7">
        <f>SUM(E20:E22)</f>
        <v>14</v>
      </c>
      <c r="F23" s="7">
        <f>SUM(F20:F22)</f>
        <v>0</v>
      </c>
      <c r="G23" s="7">
        <f>SUM(G20:G22)</f>
        <v>0</v>
      </c>
      <c r="H23" s="7">
        <f>SUM(H20:H22)</f>
        <v>0</v>
      </c>
      <c r="I23" s="7">
        <f>SUM(I20:I22)</f>
        <v>0</v>
      </c>
      <c r="J23" s="7">
        <f>SUM(J20:J22)</f>
        <v>0</v>
      </c>
      <c r="K23" s="7">
        <f>SUM(K20:K22)</f>
        <v>0</v>
      </c>
      <c r="L23" s="7">
        <f>SUM(L20:L22)</f>
        <v>0</v>
      </c>
      <c r="M23" s="7">
        <f>SUM(M20:M22)</f>
        <v>0</v>
      </c>
    </row>
    <row r="26" spans="1:13" ht="25.5" x14ac:dyDescent="0.2">
      <c r="A26" s="5" t="s">
        <v>30</v>
      </c>
      <c r="B26" s="6">
        <v>46023</v>
      </c>
      <c r="C26" s="6">
        <v>46054</v>
      </c>
      <c r="D26" s="6">
        <v>46082</v>
      </c>
      <c r="E26" s="6">
        <v>46113</v>
      </c>
      <c r="F26" s="6">
        <v>46143</v>
      </c>
      <c r="G26" s="6">
        <v>46174</v>
      </c>
      <c r="H26" s="6">
        <v>46204</v>
      </c>
      <c r="I26" s="6">
        <v>46235</v>
      </c>
      <c r="J26" s="6">
        <v>46266</v>
      </c>
      <c r="K26" s="6">
        <v>46296</v>
      </c>
      <c r="L26" s="6">
        <v>46327</v>
      </c>
      <c r="M26" s="6">
        <v>46357</v>
      </c>
    </row>
    <row r="27" spans="1:13" x14ac:dyDescent="0.2">
      <c r="A27" s="4" t="s">
        <v>21</v>
      </c>
      <c r="B27" s="3"/>
      <c r="C27" s="3"/>
      <c r="D27" s="3"/>
      <c r="E27" s="3">
        <v>2</v>
      </c>
      <c r="F27" s="3"/>
      <c r="G27" s="3"/>
      <c r="H27" s="3"/>
      <c r="I27" s="3"/>
      <c r="J27" s="3"/>
      <c r="K27" s="3"/>
      <c r="L27" s="3"/>
      <c r="M27" s="3"/>
    </row>
    <row r="28" spans="1:13" x14ac:dyDescent="0.2">
      <c r="A28" s="4" t="s">
        <v>22</v>
      </c>
      <c r="B28" s="3">
        <v>1</v>
      </c>
      <c r="C28" s="3">
        <v>2</v>
      </c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x14ac:dyDescent="0.2">
      <c r="A29" s="4" t="s">
        <v>23</v>
      </c>
      <c r="B29" s="3"/>
      <c r="C29" s="3"/>
      <c r="D29" s="3"/>
      <c r="E29" s="3">
        <v>2</v>
      </c>
      <c r="F29" s="3"/>
      <c r="G29" s="3"/>
      <c r="H29" s="3"/>
      <c r="I29" s="3"/>
      <c r="J29" s="3"/>
      <c r="K29" s="3"/>
      <c r="L29" s="3"/>
      <c r="M29" s="3"/>
    </row>
    <row r="30" spans="1:13" x14ac:dyDescent="0.2">
      <c r="A30" s="4" t="s">
        <v>24</v>
      </c>
      <c r="B30" s="3">
        <v>2</v>
      </c>
      <c r="C30" s="3">
        <v>1</v>
      </c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x14ac:dyDescent="0.2">
      <c r="A31" s="4" t="s">
        <v>25</v>
      </c>
      <c r="B31" s="3">
        <v>1</v>
      </c>
      <c r="C31" s="3">
        <v>1</v>
      </c>
      <c r="D31" s="3">
        <v>1</v>
      </c>
      <c r="E31" s="3">
        <v>2</v>
      </c>
      <c r="F31" s="3"/>
      <c r="G31" s="3"/>
      <c r="H31" s="3"/>
      <c r="I31" s="3"/>
      <c r="J31" s="3"/>
      <c r="K31" s="3"/>
      <c r="L31" s="3"/>
      <c r="M31" s="3"/>
    </row>
    <row r="32" spans="1:13" x14ac:dyDescent="0.2">
      <c r="A32" s="4" t="s">
        <v>26</v>
      </c>
      <c r="B32" s="3"/>
      <c r="C32" s="3">
        <v>1</v>
      </c>
      <c r="D32" s="3">
        <v>1</v>
      </c>
      <c r="E32" s="3">
        <v>3</v>
      </c>
      <c r="F32" s="3"/>
      <c r="G32" s="3"/>
      <c r="H32" s="3"/>
      <c r="I32" s="3"/>
      <c r="J32" s="3"/>
      <c r="K32" s="3"/>
      <c r="L32" s="3"/>
      <c r="M32" s="3"/>
    </row>
    <row r="33" spans="1:13" x14ac:dyDescent="0.2">
      <c r="A33" s="4" t="s">
        <v>27</v>
      </c>
      <c r="B33" s="3">
        <v>1</v>
      </c>
      <c r="C33" s="3">
        <v>3</v>
      </c>
      <c r="D33" s="3">
        <v>3</v>
      </c>
      <c r="E33" s="3">
        <v>2</v>
      </c>
      <c r="F33" s="3"/>
      <c r="G33" s="3"/>
      <c r="H33" s="3"/>
      <c r="I33" s="3"/>
      <c r="J33" s="3"/>
      <c r="K33" s="3"/>
      <c r="L33" s="3"/>
      <c r="M33" s="3"/>
    </row>
    <row r="34" spans="1:13" x14ac:dyDescent="0.2">
      <c r="A34" s="4" t="s">
        <v>28</v>
      </c>
      <c r="B34" s="3">
        <v>2</v>
      </c>
      <c r="C34" s="3">
        <v>1</v>
      </c>
      <c r="D34" s="3">
        <v>1</v>
      </c>
      <c r="E34" s="3">
        <v>2</v>
      </c>
      <c r="F34" s="3"/>
      <c r="G34" s="3"/>
      <c r="H34" s="3"/>
      <c r="I34" s="3"/>
      <c r="J34" s="3"/>
      <c r="K34" s="3"/>
      <c r="L34" s="3"/>
      <c r="M34" s="3"/>
    </row>
    <row r="35" spans="1:13" x14ac:dyDescent="0.2">
      <c r="A35" s="4" t="s">
        <v>29</v>
      </c>
      <c r="B35" s="3"/>
      <c r="C35" s="3"/>
      <c r="D35" s="3">
        <v>1</v>
      </c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2">
      <c r="A36" s="7" t="s">
        <v>0</v>
      </c>
      <c r="B36" s="7">
        <f>SUM(B27:B35)</f>
        <v>7</v>
      </c>
      <c r="C36" s="7">
        <f>SUM(C27:C35)</f>
        <v>9</v>
      </c>
      <c r="D36" s="7">
        <f>SUM(D27:D35)</f>
        <v>7</v>
      </c>
      <c r="E36" s="7">
        <f>SUM(E27:E35)</f>
        <v>13</v>
      </c>
      <c r="F36" s="7">
        <f>SUM(F27:F35)</f>
        <v>0</v>
      </c>
      <c r="G36" s="7">
        <f>SUM(G27:G35)</f>
        <v>0</v>
      </c>
      <c r="H36" s="7">
        <f>SUM(H27:H35)</f>
        <v>0</v>
      </c>
      <c r="I36" s="7">
        <f>SUM(I27:I35)</f>
        <v>0</v>
      </c>
      <c r="J36" s="7">
        <f>SUM(J27:J35)</f>
        <v>0</v>
      </c>
      <c r="K36" s="7">
        <f>SUM(K27:K35)</f>
        <v>0</v>
      </c>
      <c r="L36" s="7">
        <f>SUM(L27:L35)</f>
        <v>0</v>
      </c>
      <c r="M36" s="7">
        <f>SUM(M27:M35)</f>
        <v>0</v>
      </c>
    </row>
  </sheetData>
  <printOptions horizontalCentered="1"/>
  <pageMargins left="0.98425196850393704" right="0.59055118110236227" top="0.59055118110236227" bottom="0.78740157480314965" header="0.51181102362204722" footer="0.51181102362204722"/>
  <pageSetup paperSize="9" orientation="portrait" horizontalDpi="300" verticalDpi="0" copies="0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23"/>
  <sheetViews>
    <sheetView workbookViewId="0">
      <selection activeCell="E28" sqref="E28"/>
    </sheetView>
  </sheetViews>
  <sheetFormatPr defaultRowHeight="12.75" x14ac:dyDescent="0.2"/>
  <cols>
    <col min="1" max="1" width="38.28515625" style="1" customWidth="1"/>
    <col min="2" max="5" width="8.85546875" style="1" customWidth="1"/>
    <col min="6" max="6" width="9.42578125" style="1" customWidth="1"/>
    <col min="7" max="25" width="8.85546875" style="1" customWidth="1"/>
    <col min="26" max="16384" width="9.140625" style="2"/>
  </cols>
  <sheetData>
    <row r="1" spans="1:13" ht="38.25" x14ac:dyDescent="0.2">
      <c r="A1" s="5" t="s">
        <v>31</v>
      </c>
      <c r="B1" s="6">
        <v>46023</v>
      </c>
      <c r="C1" s="6">
        <v>46054</v>
      </c>
      <c r="D1" s="6">
        <v>46082</v>
      </c>
      <c r="E1" s="6">
        <v>46113</v>
      </c>
      <c r="F1" s="6">
        <v>46143</v>
      </c>
      <c r="G1" s="6">
        <v>46174</v>
      </c>
      <c r="H1" s="6">
        <v>46204</v>
      </c>
      <c r="I1" s="6">
        <v>46235</v>
      </c>
      <c r="J1" s="6">
        <v>46266</v>
      </c>
      <c r="K1" s="6">
        <v>46296</v>
      </c>
      <c r="L1" s="6">
        <v>46327</v>
      </c>
      <c r="M1" s="6">
        <v>46357</v>
      </c>
    </row>
    <row r="2" spans="1:13" x14ac:dyDescent="0.2">
      <c r="A2" s="4" t="s">
        <v>1</v>
      </c>
      <c r="B2" s="3">
        <v>9.6</v>
      </c>
      <c r="C2" s="3">
        <v>40.1</v>
      </c>
      <c r="D2" s="3">
        <v>53.9</v>
      </c>
      <c r="E2" s="3">
        <v>7.5</v>
      </c>
      <c r="F2" s="3"/>
      <c r="G2" s="3"/>
      <c r="H2" s="3"/>
      <c r="I2" s="3"/>
      <c r="J2" s="3"/>
      <c r="K2" s="3"/>
      <c r="L2" s="3"/>
      <c r="M2" s="3"/>
    </row>
    <row r="3" spans="1:13" x14ac:dyDescent="0.2">
      <c r="A3" s="4" t="s">
        <v>2</v>
      </c>
      <c r="B3" s="3"/>
      <c r="C3" s="3">
        <v>20.6</v>
      </c>
      <c r="D3" s="3">
        <v>16.100000000000001</v>
      </c>
      <c r="E3" s="3">
        <v>92.6</v>
      </c>
      <c r="F3" s="3"/>
      <c r="G3" s="3"/>
      <c r="H3" s="3"/>
      <c r="I3" s="3"/>
      <c r="J3" s="3"/>
      <c r="K3" s="3"/>
      <c r="L3" s="3"/>
      <c r="M3" s="3"/>
    </row>
    <row r="4" spans="1:13" x14ac:dyDescent="0.2">
      <c r="A4" s="4" t="s">
        <v>3</v>
      </c>
      <c r="B4" s="3"/>
      <c r="C4" s="3"/>
      <c r="D4" s="3"/>
      <c r="E4" s="3">
        <v>12.2</v>
      </c>
      <c r="F4" s="3"/>
      <c r="G4" s="3"/>
      <c r="H4" s="3"/>
      <c r="I4" s="3"/>
      <c r="J4" s="3"/>
      <c r="K4" s="3"/>
      <c r="L4" s="3"/>
      <c r="M4" s="3"/>
    </row>
    <row r="5" spans="1:13" x14ac:dyDescent="0.2">
      <c r="A5" s="4" t="s">
        <v>4</v>
      </c>
      <c r="B5" s="3">
        <v>8.1</v>
      </c>
      <c r="C5" s="3"/>
      <c r="D5" s="3">
        <v>6.9</v>
      </c>
      <c r="E5" s="3">
        <v>6.9</v>
      </c>
      <c r="F5" s="3"/>
      <c r="G5" s="3"/>
      <c r="H5" s="3"/>
      <c r="I5" s="3"/>
      <c r="J5" s="3"/>
      <c r="K5" s="3"/>
      <c r="L5" s="3"/>
      <c r="M5" s="3"/>
    </row>
    <row r="6" spans="1:13" x14ac:dyDescent="0.2">
      <c r="A6" s="4" t="s">
        <v>5</v>
      </c>
      <c r="B6" s="3"/>
      <c r="C6" s="3">
        <v>2.9</v>
      </c>
      <c r="D6" s="3">
        <v>1.75</v>
      </c>
      <c r="E6" s="3">
        <v>9.3000000000000007</v>
      </c>
      <c r="F6" s="3"/>
      <c r="G6" s="3"/>
      <c r="H6" s="3"/>
      <c r="I6" s="3"/>
      <c r="J6" s="3"/>
      <c r="K6" s="3"/>
      <c r="L6" s="3"/>
      <c r="M6" s="3"/>
    </row>
    <row r="7" spans="1:13" x14ac:dyDescent="0.2">
      <c r="A7" s="4" t="s">
        <v>6</v>
      </c>
      <c r="B7" s="3"/>
      <c r="C7" s="3"/>
      <c r="D7" s="3"/>
      <c r="E7" s="3">
        <v>6.5</v>
      </c>
      <c r="F7" s="3"/>
      <c r="G7" s="3"/>
      <c r="H7" s="3"/>
      <c r="I7" s="3"/>
      <c r="J7" s="3"/>
      <c r="K7" s="3"/>
      <c r="L7" s="3"/>
      <c r="M7" s="3"/>
    </row>
    <row r="8" spans="1:13" x14ac:dyDescent="0.2">
      <c r="A8" s="4" t="s">
        <v>7</v>
      </c>
      <c r="B8" s="3">
        <v>5.8</v>
      </c>
      <c r="C8" s="3">
        <v>13</v>
      </c>
      <c r="D8" s="3">
        <v>6.4</v>
      </c>
      <c r="E8" s="3">
        <v>81.400000000000006</v>
      </c>
      <c r="F8" s="3"/>
      <c r="G8" s="3"/>
      <c r="H8" s="3"/>
      <c r="I8" s="3"/>
      <c r="J8" s="3"/>
      <c r="K8" s="3"/>
      <c r="L8" s="3"/>
      <c r="M8" s="3"/>
    </row>
    <row r="9" spans="1:13" x14ac:dyDescent="0.2">
      <c r="A9" s="4" t="s">
        <v>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x14ac:dyDescent="0.2">
      <c r="A10" s="7" t="s">
        <v>0</v>
      </c>
      <c r="B10" s="7">
        <v>8.1</v>
      </c>
      <c r="C10" s="7">
        <v>18.600000000000001</v>
      </c>
      <c r="D10" s="7">
        <v>22.9</v>
      </c>
      <c r="E10" s="7">
        <v>31.4</v>
      </c>
      <c r="F10" s="7"/>
      <c r="G10" s="7"/>
      <c r="H10" s="7"/>
      <c r="I10" s="7"/>
      <c r="J10" s="7"/>
      <c r="K10" s="7"/>
      <c r="L10" s="7"/>
      <c r="M10" s="7"/>
    </row>
    <row r="13" spans="1:13" ht="38.25" x14ac:dyDescent="0.2">
      <c r="A13" s="5" t="s">
        <v>32</v>
      </c>
      <c r="B13" s="6">
        <v>46023</v>
      </c>
      <c r="C13" s="6">
        <v>46054</v>
      </c>
      <c r="D13" s="6">
        <v>46082</v>
      </c>
      <c r="E13" s="6">
        <v>46113</v>
      </c>
      <c r="F13" s="6">
        <v>46143</v>
      </c>
      <c r="G13" s="6">
        <v>46174</v>
      </c>
      <c r="H13" s="6">
        <v>46204</v>
      </c>
      <c r="I13" s="6">
        <v>46235</v>
      </c>
      <c r="J13" s="6">
        <v>46266</v>
      </c>
      <c r="K13" s="6">
        <v>46296</v>
      </c>
      <c r="L13" s="6">
        <v>46327</v>
      </c>
      <c r="M13" s="6">
        <v>46357</v>
      </c>
    </row>
    <row r="14" spans="1:13" x14ac:dyDescent="0.2">
      <c r="A14" s="4" t="s">
        <v>12</v>
      </c>
      <c r="B14" s="3">
        <v>8.9</v>
      </c>
      <c r="C14" s="3">
        <v>17.2</v>
      </c>
      <c r="D14" s="3">
        <v>22.9</v>
      </c>
      <c r="E14" s="3">
        <v>39.9</v>
      </c>
      <c r="F14" s="3"/>
      <c r="G14" s="3"/>
      <c r="H14" s="3"/>
      <c r="I14" s="3"/>
      <c r="J14" s="3"/>
      <c r="K14" s="3"/>
      <c r="L14" s="3"/>
      <c r="M14" s="3"/>
    </row>
    <row r="15" spans="1:13" x14ac:dyDescent="0.2">
      <c r="A15" s="4" t="s">
        <v>13</v>
      </c>
      <c r="B15" s="3">
        <v>6</v>
      </c>
      <c r="C15" s="3">
        <v>19.600000000000001</v>
      </c>
      <c r="D15" s="3">
        <v>22.8</v>
      </c>
      <c r="E15" s="3">
        <v>10.3</v>
      </c>
      <c r="F15" s="3"/>
      <c r="G15" s="3"/>
      <c r="H15" s="3"/>
      <c r="I15" s="3"/>
      <c r="J15" s="3"/>
      <c r="K15" s="3"/>
      <c r="L15" s="3"/>
      <c r="M15" s="3"/>
    </row>
    <row r="16" spans="1:13" x14ac:dyDescent="0.2">
      <c r="A16" s="7" t="s">
        <v>0</v>
      </c>
      <c r="B16" s="7">
        <v>8.1</v>
      </c>
      <c r="C16" s="7">
        <v>18.600000000000001</v>
      </c>
      <c r="D16" s="7">
        <v>22.9</v>
      </c>
      <c r="E16" s="7">
        <v>31.4</v>
      </c>
      <c r="F16" s="7"/>
      <c r="G16" s="7"/>
      <c r="H16" s="7"/>
      <c r="I16" s="7"/>
      <c r="J16" s="7"/>
      <c r="K16" s="7"/>
      <c r="L16" s="7"/>
      <c r="M16" s="7"/>
    </row>
    <row r="19" spans="1:13" ht="38.25" x14ac:dyDescent="0.2">
      <c r="A19" s="5" t="s">
        <v>33</v>
      </c>
      <c r="B19" s="6">
        <v>46023</v>
      </c>
      <c r="C19" s="6">
        <v>46054</v>
      </c>
      <c r="D19" s="6">
        <v>46082</v>
      </c>
      <c r="E19" s="6">
        <v>46113</v>
      </c>
      <c r="F19" s="6">
        <v>46143</v>
      </c>
      <c r="G19" s="6">
        <v>46174</v>
      </c>
      <c r="H19" s="6">
        <v>46204</v>
      </c>
      <c r="I19" s="6">
        <v>46235</v>
      </c>
      <c r="J19" s="6">
        <v>46266</v>
      </c>
      <c r="K19" s="6">
        <v>46296</v>
      </c>
      <c r="L19" s="6">
        <v>46327</v>
      </c>
      <c r="M19" s="6">
        <v>46357</v>
      </c>
    </row>
    <row r="20" spans="1:13" x14ac:dyDescent="0.2">
      <c r="A20" s="4" t="s">
        <v>14</v>
      </c>
      <c r="B20" s="3">
        <v>5</v>
      </c>
      <c r="C20" s="3">
        <v>1</v>
      </c>
      <c r="D20" s="3"/>
      <c r="E20" s="3">
        <v>82.5</v>
      </c>
      <c r="F20" s="3"/>
      <c r="G20" s="3"/>
      <c r="H20" s="3"/>
      <c r="I20" s="3"/>
      <c r="J20" s="3"/>
      <c r="K20" s="3"/>
      <c r="L20" s="3"/>
      <c r="M20" s="3"/>
    </row>
    <row r="21" spans="1:13" x14ac:dyDescent="0.2">
      <c r="A21" s="4" t="s">
        <v>15</v>
      </c>
      <c r="B21" s="3">
        <v>6.1</v>
      </c>
      <c r="C21" s="3">
        <v>27.5</v>
      </c>
      <c r="D21" s="3">
        <v>24.8</v>
      </c>
      <c r="E21" s="3">
        <v>30</v>
      </c>
      <c r="F21" s="3"/>
      <c r="G21" s="3"/>
      <c r="H21" s="3"/>
      <c r="I21" s="3"/>
      <c r="J21" s="3"/>
      <c r="K21" s="3"/>
      <c r="L21" s="3"/>
      <c r="M21" s="3"/>
    </row>
    <row r="22" spans="1:13" x14ac:dyDescent="0.2">
      <c r="A22" s="4" t="s">
        <v>16</v>
      </c>
      <c r="B22" s="3">
        <v>13.5</v>
      </c>
      <c r="C22" s="3">
        <v>11.9</v>
      </c>
      <c r="D22" s="3">
        <v>7.25</v>
      </c>
      <c r="E22" s="3">
        <v>8.8000000000000007</v>
      </c>
      <c r="F22" s="3"/>
      <c r="G22" s="3"/>
      <c r="H22" s="3"/>
      <c r="I22" s="3"/>
      <c r="J22" s="3"/>
      <c r="K22" s="3"/>
      <c r="L22" s="3"/>
      <c r="M22" s="3"/>
    </row>
    <row r="23" spans="1:13" x14ac:dyDescent="0.2">
      <c r="A23" s="7" t="s">
        <v>0</v>
      </c>
      <c r="B23" s="7">
        <v>8.1</v>
      </c>
      <c r="C23" s="7">
        <v>18.600000000000001</v>
      </c>
      <c r="D23" s="7">
        <v>22.9</v>
      </c>
      <c r="E23" s="7">
        <v>31.4</v>
      </c>
      <c r="F23" s="7"/>
      <c r="G23" s="7"/>
      <c r="H23" s="7"/>
      <c r="I23" s="7"/>
      <c r="J23" s="7"/>
      <c r="K23" s="7"/>
      <c r="L23" s="7"/>
      <c r="M23" s="7"/>
    </row>
  </sheetData>
  <printOptions horizontalCentered="1"/>
  <pageMargins left="0.98425196850393704" right="0.59055118110236227" top="0.59055118110236227" bottom="0.78740157480314965" header="0.51181102362204722" footer="0.51181102362204722"/>
  <pageSetup paperSize="9" orientation="portrait" horizontalDpi="300" verticalDpi="0" copies="0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23"/>
  <sheetViews>
    <sheetView workbookViewId="0">
      <selection activeCell="N27" sqref="N27"/>
    </sheetView>
  </sheetViews>
  <sheetFormatPr defaultRowHeight="12.75" x14ac:dyDescent="0.2"/>
  <cols>
    <col min="1" max="1" width="38.28515625" style="1" customWidth="1"/>
    <col min="2" max="5" width="8.85546875" style="1" customWidth="1"/>
    <col min="6" max="6" width="9.42578125" style="1" customWidth="1"/>
    <col min="7" max="25" width="8.85546875" style="1" customWidth="1"/>
    <col min="26" max="16384" width="9.140625" style="2"/>
  </cols>
  <sheetData>
    <row r="1" spans="1:13" ht="38.25" x14ac:dyDescent="0.2">
      <c r="A1" s="5" t="s">
        <v>34</v>
      </c>
      <c r="B1" s="6">
        <v>46023</v>
      </c>
      <c r="C1" s="6">
        <v>46054</v>
      </c>
      <c r="D1" s="6">
        <v>46082</v>
      </c>
      <c r="E1" s="6">
        <v>46113</v>
      </c>
      <c r="F1" s="6">
        <v>46143</v>
      </c>
      <c r="G1" s="6">
        <v>46174</v>
      </c>
      <c r="H1" s="6">
        <v>46204</v>
      </c>
      <c r="I1" s="6">
        <v>46235</v>
      </c>
      <c r="J1" s="6">
        <v>46266</v>
      </c>
      <c r="K1" s="6">
        <v>46296</v>
      </c>
      <c r="L1" s="6">
        <v>46327</v>
      </c>
      <c r="M1" s="6">
        <v>46357</v>
      </c>
    </row>
    <row r="2" spans="1:13" x14ac:dyDescent="0.2">
      <c r="A2" s="4" t="s">
        <v>1</v>
      </c>
      <c r="B2" s="3">
        <v>12</v>
      </c>
      <c r="C2" s="3">
        <v>17</v>
      </c>
      <c r="D2" s="3">
        <v>21</v>
      </c>
      <c r="E2" s="3">
        <v>18</v>
      </c>
      <c r="F2" s="3"/>
      <c r="G2" s="3"/>
      <c r="H2" s="3"/>
      <c r="I2" s="3"/>
      <c r="J2" s="3"/>
      <c r="K2" s="3"/>
      <c r="L2" s="3"/>
      <c r="M2" s="3"/>
    </row>
    <row r="3" spans="1:13" x14ac:dyDescent="0.2">
      <c r="A3" s="4" t="s">
        <v>2</v>
      </c>
      <c r="B3" s="3"/>
      <c r="C3" s="3">
        <v>41</v>
      </c>
      <c r="D3" s="3">
        <v>18</v>
      </c>
      <c r="E3" s="3">
        <v>51</v>
      </c>
      <c r="F3" s="3"/>
      <c r="G3" s="3"/>
      <c r="H3" s="3"/>
      <c r="I3" s="3"/>
      <c r="J3" s="3"/>
      <c r="K3" s="3"/>
      <c r="L3" s="3"/>
      <c r="M3" s="3"/>
    </row>
    <row r="4" spans="1:13" x14ac:dyDescent="0.2">
      <c r="A4" s="4" t="s">
        <v>3</v>
      </c>
      <c r="B4" s="3"/>
      <c r="C4" s="3"/>
      <c r="D4" s="3"/>
      <c r="E4" s="3">
        <v>11</v>
      </c>
      <c r="F4" s="3"/>
      <c r="G4" s="3"/>
      <c r="H4" s="3"/>
      <c r="I4" s="3"/>
      <c r="J4" s="3"/>
      <c r="K4" s="3"/>
      <c r="L4" s="3"/>
      <c r="M4" s="3"/>
    </row>
    <row r="5" spans="1:13" x14ac:dyDescent="0.2">
      <c r="A5" s="4" t="s">
        <v>4</v>
      </c>
      <c r="B5" s="3">
        <v>4</v>
      </c>
      <c r="C5" s="3"/>
      <c r="D5" s="3">
        <v>8</v>
      </c>
      <c r="E5" s="3">
        <v>8</v>
      </c>
      <c r="F5" s="3"/>
      <c r="G5" s="3"/>
      <c r="H5" s="3"/>
      <c r="I5" s="3"/>
      <c r="J5" s="3"/>
      <c r="K5" s="3"/>
      <c r="L5" s="3"/>
      <c r="M5" s="3"/>
    </row>
    <row r="6" spans="1:13" x14ac:dyDescent="0.2">
      <c r="A6" s="4" t="s">
        <v>5</v>
      </c>
      <c r="B6" s="3"/>
      <c r="C6" s="3">
        <v>13</v>
      </c>
      <c r="D6" s="3">
        <v>28</v>
      </c>
      <c r="E6" s="3">
        <v>27</v>
      </c>
      <c r="F6" s="3"/>
      <c r="G6" s="3"/>
      <c r="H6" s="3"/>
      <c r="I6" s="3"/>
      <c r="J6" s="3"/>
      <c r="K6" s="3"/>
      <c r="L6" s="3"/>
      <c r="M6" s="3"/>
    </row>
    <row r="7" spans="1:13" x14ac:dyDescent="0.2">
      <c r="A7" s="4" t="s">
        <v>6</v>
      </c>
      <c r="B7" s="3"/>
      <c r="C7" s="3"/>
      <c r="D7" s="3"/>
      <c r="E7" s="3">
        <v>10</v>
      </c>
      <c r="F7" s="3"/>
      <c r="G7" s="3"/>
      <c r="H7" s="3"/>
      <c r="I7" s="3"/>
      <c r="J7" s="3"/>
      <c r="K7" s="3"/>
      <c r="L7" s="3"/>
      <c r="M7" s="3"/>
    </row>
    <row r="8" spans="1:13" x14ac:dyDescent="0.2">
      <c r="A8" s="4" t="s">
        <v>7</v>
      </c>
      <c r="B8" s="3">
        <v>5</v>
      </c>
      <c r="C8" s="3">
        <v>11</v>
      </c>
      <c r="D8" s="3">
        <v>13</v>
      </c>
      <c r="E8" s="3">
        <v>11</v>
      </c>
      <c r="F8" s="3"/>
      <c r="G8" s="3"/>
      <c r="H8" s="3"/>
      <c r="I8" s="3"/>
      <c r="J8" s="3"/>
      <c r="K8" s="3"/>
      <c r="L8" s="3"/>
      <c r="M8" s="3"/>
    </row>
    <row r="9" spans="1:13" x14ac:dyDescent="0.2">
      <c r="A9" s="4" t="s">
        <v>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x14ac:dyDescent="0.2">
      <c r="A10" s="7" t="s">
        <v>0</v>
      </c>
      <c r="B10" s="7">
        <v>8</v>
      </c>
      <c r="C10" s="7">
        <v>20</v>
      </c>
      <c r="D10" s="7">
        <v>18</v>
      </c>
      <c r="E10" s="8">
        <v>20</v>
      </c>
      <c r="F10" s="7"/>
      <c r="G10" s="7"/>
      <c r="H10" s="7"/>
      <c r="I10" s="7"/>
      <c r="J10" s="7"/>
      <c r="K10" s="7"/>
      <c r="L10" s="7"/>
      <c r="M10" s="7"/>
    </row>
    <row r="13" spans="1:13" ht="38.25" x14ac:dyDescent="0.2">
      <c r="A13" s="5" t="s">
        <v>35</v>
      </c>
      <c r="B13" s="6">
        <v>46023</v>
      </c>
      <c r="C13" s="6">
        <v>46054</v>
      </c>
      <c r="D13" s="6">
        <v>46082</v>
      </c>
      <c r="E13" s="6">
        <v>46113</v>
      </c>
      <c r="F13" s="6">
        <v>46143</v>
      </c>
      <c r="G13" s="6">
        <v>46174</v>
      </c>
      <c r="H13" s="6">
        <v>46204</v>
      </c>
      <c r="I13" s="6">
        <v>46235</v>
      </c>
      <c r="J13" s="6">
        <v>46266</v>
      </c>
      <c r="K13" s="6">
        <v>46296</v>
      </c>
      <c r="L13" s="6">
        <v>46327</v>
      </c>
      <c r="M13" s="6">
        <v>46357</v>
      </c>
    </row>
    <row r="14" spans="1:13" x14ac:dyDescent="0.2">
      <c r="A14" s="4" t="s">
        <v>12</v>
      </c>
      <c r="B14" s="3">
        <v>9.6</v>
      </c>
      <c r="C14" s="3">
        <v>26</v>
      </c>
      <c r="D14" s="3">
        <v>21</v>
      </c>
      <c r="E14" s="3">
        <v>24</v>
      </c>
      <c r="F14" s="3"/>
      <c r="G14" s="3"/>
      <c r="H14" s="3"/>
      <c r="I14" s="3"/>
      <c r="J14" s="3"/>
      <c r="K14" s="3"/>
      <c r="L14" s="3"/>
      <c r="M14" s="3"/>
    </row>
    <row r="15" spans="1:13" x14ac:dyDescent="0.2">
      <c r="A15" s="4" t="s">
        <v>13</v>
      </c>
      <c r="B15" s="3">
        <v>2</v>
      </c>
      <c r="C15" s="3">
        <v>16</v>
      </c>
      <c r="D15" s="3">
        <v>12</v>
      </c>
      <c r="E15" s="3">
        <v>11</v>
      </c>
      <c r="F15" s="3"/>
      <c r="G15" s="3"/>
      <c r="H15" s="3"/>
      <c r="I15" s="3"/>
      <c r="J15" s="3"/>
      <c r="K15" s="3"/>
      <c r="L15" s="3"/>
      <c r="M15" s="3"/>
    </row>
    <row r="16" spans="1:13" x14ac:dyDescent="0.2">
      <c r="A16" s="7" t="s">
        <v>0</v>
      </c>
      <c r="B16" s="7">
        <v>8</v>
      </c>
      <c r="C16" s="7">
        <v>20</v>
      </c>
      <c r="D16" s="7">
        <v>18</v>
      </c>
      <c r="E16" s="8">
        <v>20</v>
      </c>
      <c r="F16" s="7"/>
      <c r="G16" s="7"/>
      <c r="H16" s="7"/>
      <c r="I16" s="7"/>
      <c r="J16" s="7"/>
      <c r="K16" s="7"/>
      <c r="L16" s="7"/>
      <c r="M16" s="7"/>
    </row>
    <row r="19" spans="1:13" ht="38.25" x14ac:dyDescent="0.2">
      <c r="A19" s="5" t="s">
        <v>36</v>
      </c>
      <c r="B19" s="6">
        <v>46023</v>
      </c>
      <c r="C19" s="6">
        <v>46054</v>
      </c>
      <c r="D19" s="6">
        <v>46082</v>
      </c>
      <c r="E19" s="6">
        <v>46113</v>
      </c>
      <c r="F19" s="6">
        <v>46143</v>
      </c>
      <c r="G19" s="6">
        <v>46174</v>
      </c>
      <c r="H19" s="6">
        <v>46204</v>
      </c>
      <c r="I19" s="6">
        <v>46235</v>
      </c>
      <c r="J19" s="6">
        <v>46266</v>
      </c>
      <c r="K19" s="6">
        <v>46296</v>
      </c>
      <c r="L19" s="6">
        <v>46327</v>
      </c>
      <c r="M19" s="6">
        <v>46357</v>
      </c>
    </row>
    <row r="20" spans="1:13" x14ac:dyDescent="0.2">
      <c r="A20" s="4" t="s">
        <v>14</v>
      </c>
      <c r="B20" s="3">
        <v>7</v>
      </c>
      <c r="C20" s="3">
        <v>32</v>
      </c>
      <c r="D20" s="3"/>
      <c r="E20" s="3">
        <v>13</v>
      </c>
      <c r="F20" s="3"/>
      <c r="G20" s="3"/>
      <c r="H20" s="3"/>
      <c r="I20" s="3"/>
      <c r="J20" s="3"/>
      <c r="K20" s="3"/>
      <c r="L20" s="3"/>
      <c r="M20" s="3"/>
    </row>
    <row r="21" spans="1:13" x14ac:dyDescent="0.2">
      <c r="A21" s="4" t="s">
        <v>15</v>
      </c>
      <c r="B21" s="3">
        <v>2</v>
      </c>
      <c r="C21" s="3">
        <v>25</v>
      </c>
      <c r="D21" s="3">
        <v>20</v>
      </c>
      <c r="E21" s="3">
        <v>28</v>
      </c>
      <c r="F21" s="3"/>
      <c r="G21" s="3"/>
      <c r="H21" s="3"/>
      <c r="I21" s="3"/>
      <c r="J21" s="3"/>
      <c r="K21" s="3"/>
      <c r="L21" s="3"/>
      <c r="M21" s="3"/>
    </row>
    <row r="22" spans="1:13" x14ac:dyDescent="0.2">
      <c r="A22" s="4" t="s">
        <v>16</v>
      </c>
      <c r="B22" s="3">
        <v>19</v>
      </c>
      <c r="C22" s="3">
        <v>10</v>
      </c>
      <c r="D22" s="3">
        <v>12</v>
      </c>
      <c r="E22" s="3">
        <v>9</v>
      </c>
      <c r="F22" s="3"/>
      <c r="G22" s="3"/>
      <c r="H22" s="3"/>
      <c r="I22" s="3"/>
      <c r="J22" s="3"/>
      <c r="K22" s="3"/>
      <c r="L22" s="3"/>
      <c r="M22" s="3"/>
    </row>
    <row r="23" spans="1:13" x14ac:dyDescent="0.2">
      <c r="A23" s="7" t="s">
        <v>0</v>
      </c>
      <c r="B23" s="7">
        <v>8</v>
      </c>
      <c r="C23" s="7">
        <v>20</v>
      </c>
      <c r="D23" s="7">
        <v>18</v>
      </c>
      <c r="E23" s="8">
        <v>20</v>
      </c>
      <c r="F23" s="7"/>
      <c r="G23" s="7"/>
      <c r="H23" s="7"/>
      <c r="I23" s="7"/>
      <c r="J23" s="7"/>
      <c r="K23" s="7"/>
      <c r="L23" s="7"/>
      <c r="M23" s="7"/>
    </row>
  </sheetData>
  <printOptions horizontalCentered="1"/>
  <pageMargins left="0.98425196850393704" right="0.59055118110236227" top="0.59055118110236227" bottom="0.78740157480314965" header="0.51181102362204722" footer="0.51181102362204722"/>
  <pageSetup paperSize="9" orientation="portrait" horizontalDpi="300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Поступило</vt:lpstr>
      <vt:lpstr>Проработано</vt:lpstr>
      <vt:lpstr>Ср. трудоемкость</vt:lpstr>
      <vt:lpstr>Ср. длительность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Дунаев Сергей (Dunaev_SV)</dc:creator>
  <cp:lastModifiedBy>Кручинина Анна (Kruchinina_AI)</cp:lastModifiedBy>
  <cp:lastPrinted>1997-05-23T12:11:49Z</cp:lastPrinted>
  <dcterms:created xsi:type="dcterms:W3CDTF">1997-05-03T17:29:42Z</dcterms:created>
  <dcterms:modified xsi:type="dcterms:W3CDTF">2026-06-04T15:32:56Z</dcterms:modified>
</cp:coreProperties>
</file>